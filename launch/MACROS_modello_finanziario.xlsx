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Capitale a rischio" sheetId="2" state="visible" r:id="rId4"/>
    <sheet name="Ipotesi" sheetId="3" state="visible" r:id="rId5"/>
    <sheet name="Fase 0-1" sheetId="4" state="visible" r:id="rId6"/>
    <sheet name="Ghost Kitchen" sheetId="5" state="visible" r:id="rId7"/>
    <sheet name="Ristorante" sheetId="6" state="visible" r:id="rId8"/>
    <sheet name="Stage gat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<sst xmlns="http://schemas.openxmlformats.org/spreadsheetml/2006/main" count="281" uniqueCount="207">
  <si>
    <t xml:space="preserve">MACRO'S — Modello finanziario di lancio e validazione</t>
  </si>
  <si>
    <t xml:space="preserve">Versione del 12/10/2026. Tutte le cifre sono stime di pianificazione da sostituire con preventivi reali.</t>
  </si>
  <si>
    <t xml:space="preserve">Come usarlo</t>
  </si>
  <si>
    <t xml:space="preserve">1. Modifica solo le celle in BLU nel foglio 'Ipotesi' (le leve principali hanno anche lo sfondo GIALLO).</t>
  </si>
  <si>
    <t xml:space="preserve">2. I fogli 'Fase 0-1', 'Ghost Kitchen', 'Ristorante' e 'Capitale a rischio' si ricalcolano da soli.</t>
  </si>
  <si>
    <t xml:space="preserve">3. Nel foglio 'Stage gate' inserisci i valori reali (colonna gialla): l'esito dice se passare alla fase successiva.</t>
  </si>
  <si>
    <t xml:space="preserve">Legenda colori</t>
  </si>
  <si>
    <t xml:space="preserve">Testo blu = input modificabile · Testo nero = formula · Testo verde = collegamento da un altro foglio · Sfondo giallo = ipotesi chiave / da compilare</t>
  </si>
  <si>
    <t xml:space="preserve">Fonti usate per le ipotesi</t>
  </si>
  <si>
    <t xml:space="preserve">Commissioni delivery 25–35% con consegna della piattaforma: Gambero Rosso, gamberorosso.it/notizie/quanto-costa-il-food-delivery-ai-ristoranti-conviene-davvero/ ; Fooderise, fooderise.com/en/platform-fees</t>
  </si>
  <si>
    <t xml:space="preserve">Investimento ristorante in Italia 60.000–120.000 €, oltre 300.000 € per format strutturati in zone centrali: trend-online.com/economia/quanti-soldi-servono-per-aprire-un-ristorante/</t>
  </si>
  <si>
    <t xml:space="preserve">Scontrino medio e prezzi: listino per 100 g del totem MACRO'S (index.html del repository).</t>
  </si>
  <si>
    <t xml:space="preserve">Canoni, stipendi, lavori: stime da validare con preventivi su Milano.</t>
  </si>
  <si>
    <t xml:space="preserve">Fase</t>
  </si>
  <si>
    <t xml:space="preserve">Durata</t>
  </si>
  <si>
    <t xml:space="preserve">Capitale a rischio (€)</t>
  </si>
  <si>
    <t xml:space="preserve">Cumulato (€)</t>
  </si>
  <si>
    <t xml:space="preserve">Si finanzia con</t>
  </si>
  <si>
    <t xml:space="preserve">Si sblocca se</t>
  </si>
  <si>
    <t xml:space="preserve">0 — Preparazione</t>
  </si>
  <si>
    <t xml:space="preserve">2–4 settimane</t>
  </si>
  <si>
    <t xml:space="preserve">Capitale dei fondatori</t>
  </si>
  <si>
    <t xml:space="preserve">—</t>
  </si>
  <si>
    <t xml:space="preserve">1 — Annuncio + Early Access</t>
  </si>
  <si>
    <t xml:space="preserve">6–8 settimane</t>
  </si>
  <si>
    <t xml:space="preserve">Fase 0 completata</t>
  </si>
  <si>
    <t xml:space="preserve">2 — Ghost Kitchen Milano</t>
  </si>
  <si>
    <t xml:space="preserve">6 mesi</t>
  </si>
  <si>
    <t xml:space="preserve">Fondatori + prevendite Founding Member</t>
  </si>
  <si>
    <t xml:space="preserve">Stage gate 1 superato</t>
  </si>
  <si>
    <t xml:space="preserve">3 — Primo ristorante Milano</t>
  </si>
  <si>
    <t xml:space="preserve">4–6 mesi di cantiere</t>
  </si>
  <si>
    <t xml:space="preserve">Fondatori + soci/investitori + finanziamento</t>
  </si>
  <si>
    <t xml:space="preserve">Stage gate 2 superato</t>
  </si>
  <si>
    <t xml:space="preserve">4a — Ghost Kitchen città 2</t>
  </si>
  <si>
    <t xml:space="preserve">Cassa generata + investitori</t>
  </si>
  <si>
    <t xml:space="preserve">Stage gate 3 superato</t>
  </si>
  <si>
    <t xml:space="preserve">4b — Secondo store Milano</t>
  </si>
  <si>
    <t xml:space="preserve">4–6 mesi</t>
  </si>
  <si>
    <t xml:space="preserve">Cassa generata + finanziamento</t>
  </si>
  <si>
    <t xml:space="preserve">Primo store sopra il pareggio da 3 mesi</t>
  </si>
  <si>
    <t xml:space="preserve">Capitale a rischio prima della prova di domanda pagante (Fasi 0–2)</t>
  </si>
  <si>
    <t xml:space="preserve">Stessa cifra al netto delle prevendite Founding Member</t>
  </si>
  <si>
    <t xml:space="preserve">Ipotesi</t>
  </si>
  <si>
    <t xml:space="preserve">Valore</t>
  </si>
  <si>
    <t xml:space="preserve">Unità</t>
  </si>
  <si>
    <t xml:space="preserve">Nota / fonte</t>
  </si>
  <si>
    <t xml:space="preserve">Prezzi e margini</t>
  </si>
  <si>
    <t xml:space="preserve">Scontrino medio delivery (IVA inclusa)</t>
  </si>
  <si>
    <t xml:space="preserve">€/ordine</t>
  </si>
  <si>
    <t xml:space="preserve">Bowl tipo: base + proteina + topping dal listino per 100 g del totem</t>
  </si>
  <si>
    <t xml:space="preserve">Scontrino medio in negozio (IVA inclusa)</t>
  </si>
  <si>
    <t xml:space="preserve">Senza packaging delivery</t>
  </si>
  <si>
    <t xml:space="preserve">IVA ristorazione</t>
  </si>
  <si>
    <t xml:space="preserve">%</t>
  </si>
  <si>
    <t xml:space="preserve">Aliquota 10% su somministrazione e asporto</t>
  </si>
  <si>
    <t xml:space="preserve">Food cost</t>
  </si>
  <si>
    <t xml:space="preserve">% ricavi netti</t>
  </si>
  <si>
    <t xml:space="preserve">Obiettivo; da verificare con le schede ricetta</t>
  </si>
  <si>
    <t xml:space="preserve">Packaging per ordine delivery/asporto</t>
  </si>
  <si>
    <t xml:space="preserve">Contenitore, posate, sacchetto</t>
  </si>
  <si>
    <t xml:space="preserve">Canali di vendita (Ghost Kitchen)</t>
  </si>
  <si>
    <t xml:space="preserve">Quota ordini via piattaforme</t>
  </si>
  <si>
    <t xml:space="preserve">Il resto passa da app MACRO'S / ritiro</t>
  </si>
  <si>
    <t xml:space="preserve">Commissione piattaforme</t>
  </si>
  <si>
    <t xml:space="preserve">% ricavi</t>
  </si>
  <si>
    <t xml:space="preserve">Range 25–35% con consegna della piattaforma (Gambero Rosso, Fooderise)</t>
  </si>
  <si>
    <t xml:space="preserve">Costo pagamento canale proprio</t>
  </si>
  <si>
    <t xml:space="preserve">Carte / Stripe; consegna con rider esterno esclusa</t>
  </si>
  <si>
    <t xml:space="preserve">Fase 0-1: Early Access</t>
  </si>
  <si>
    <t xml:space="preserve">Prezzo pacchetto Founding Member</t>
  </si>
  <si>
    <t xml:space="preserve">€</t>
  </si>
  <si>
    <t xml:space="preserve">5 pasti + priorità + 10% a vita; rimborsabile se la città non apre in 4 mesi</t>
  </si>
  <si>
    <t xml:space="preserve">Founding Member venduti (obiettivo)</t>
  </si>
  <si>
    <t xml:space="preserve">persone</t>
  </si>
  <si>
    <t xml:space="preserve">18% degli iscritti della prima città</t>
  </si>
  <si>
    <t xml:space="preserve">Ghost Kitchen Milano: costi fissi mensili</t>
  </si>
  <si>
    <t xml:space="preserve">Canone cucina condivisa (utenze incluse)</t>
  </si>
  <si>
    <t xml:space="preserve">€/mese</t>
  </si>
  <si>
    <t xml:space="preserve">Stima; chiedere preventivi a operatori di cucine condivise a Milano</t>
  </si>
  <si>
    <t xml:space="preserve">Personale (2,5 FTE)</t>
  </si>
  <si>
    <t xml:space="preserve">Costo azienda</t>
  </si>
  <si>
    <t xml:space="preserve">Marketing locale e promo piattaforme</t>
  </si>
  <si>
    <t xml:space="preserve">Software, consulenze, varie</t>
  </si>
  <si>
    <t xml:space="preserve">Giorni di apertura al mese</t>
  </si>
  <si>
    <t xml:space="preserve">giorni</t>
  </si>
  <si>
    <t xml:space="preserve">Ghost Kitchen Milano: ordini al giorno (rampa)</t>
  </si>
  <si>
    <t xml:space="preserve">Mese 1</t>
  </si>
  <si>
    <t xml:space="preserve">ordini/giorno</t>
  </si>
  <si>
    <t xml:space="preserve">Mese 2</t>
  </si>
  <si>
    <t xml:space="preserve">Mese 3</t>
  </si>
  <si>
    <t xml:space="preserve">Mese 4</t>
  </si>
  <si>
    <t xml:space="preserve">Mese 5</t>
  </si>
  <si>
    <t xml:space="preserve">Mese 6</t>
  </si>
  <si>
    <t xml:space="preserve">Ristorante Milano (80–100 m², 40 coperti)</t>
  </si>
  <si>
    <t xml:space="preserve">Ordini in negozio al giorno (a regime)</t>
  </si>
  <si>
    <t xml:space="preserve">Pranzo + cena, totem</t>
  </si>
  <si>
    <t xml:space="preserve">Ordini delivery al giorno (a regime)</t>
  </si>
  <si>
    <t xml:space="preserve">Clienti spostati dalla Ghost Kitchen</t>
  </si>
  <si>
    <t xml:space="preserve">Affitto locale</t>
  </si>
  <si>
    <t xml:space="preserve">Zona semicentrale; stima</t>
  </si>
  <si>
    <t xml:space="preserve">Personale (10 FTE)</t>
  </si>
  <si>
    <t xml:space="preserve">Utenze</t>
  </si>
  <si>
    <t xml:space="preserve">Marketing</t>
  </si>
  <si>
    <t xml:space="preserve">Manutenzione, software, varie</t>
  </si>
  <si>
    <t xml:space="preserve">Imprevisti su investimenti</t>
  </si>
  <si>
    <t xml:space="preserve">Replica</t>
  </si>
  <si>
    <t xml:space="preserve">Ghost Kitchen in una nuova città</t>
  </si>
  <si>
    <t xml:space="preserve">x costo GK Milano</t>
  </si>
  <si>
    <t xml:space="preserve">Stesso modello, costi simili</t>
  </si>
  <si>
    <t xml:space="preserve">Ristorante aggiuntivo</t>
  </si>
  <si>
    <t xml:space="preserve">x costo ristorante Milano</t>
  </si>
  <si>
    <t xml:space="preserve">Progetto e fornitori già pronti</t>
  </si>
  <si>
    <t xml:space="preserve">Voce</t>
  </si>
  <si>
    <t xml:space="preserve">Costo (€)</t>
  </si>
  <si>
    <t xml:space="preserve">Nota</t>
  </si>
  <si>
    <t xml:space="preserve">Fase 0</t>
  </si>
  <si>
    <t xml:space="preserve">Landing Early Access + dominio</t>
  </si>
  <si>
    <t xml:space="preserve">Landing già nel repository; dominio e hosting</t>
  </si>
  <si>
    <t xml:space="preserve">Deposito marchio UIBM (3 classi) + consulente</t>
  </si>
  <si>
    <t xml:space="preserve">Shooting foto/video prodotti</t>
  </si>
  <si>
    <t xml:space="preserve">Avvio social e grafiche</t>
  </si>
  <si>
    <t xml:space="preserve">Consulenza contratto Steven Basalari</t>
  </si>
  <si>
    <t xml:space="preserve">Accordo a equity/revenue share: nessuna fee fissa</t>
  </si>
  <si>
    <t xml:space="preserve">Fase 1</t>
  </si>
  <si>
    <t xml:space="preserve">Tasting day Milano (cucina a ore + 200 bowl)</t>
  </si>
  <si>
    <t xml:space="preserve">Sponsorizzazione dei contenuti migliori</t>
  </si>
  <si>
    <t xml:space="preserve">Solo sui post che performano meglio in organico</t>
  </si>
  <si>
    <t xml:space="preserve">Strumenti (email, sondaggi, pagamenti)</t>
  </si>
  <si>
    <t xml:space="preserve">Imprevisti</t>
  </si>
  <si>
    <t xml:space="preserve">Costo Fase 0</t>
  </si>
  <si>
    <t xml:space="preserve">Costo Fase 1</t>
  </si>
  <si>
    <t xml:space="preserve">Incasso prevendite Founding Member (anticipo, non ricavo)</t>
  </si>
  <si>
    <t xml:space="preserve">Va restituito in pasti: riduce la cassa da anticipare, non il costo</t>
  </si>
  <si>
    <t xml:space="preserve">Investimento iniziale Ghost Kitchen</t>
  </si>
  <si>
    <t xml:space="preserve">Attrezzature aggiuntive (abbattitore, piastre, contenitori)</t>
  </si>
  <si>
    <t xml:space="preserve">SCIA, HACCP, consulenze</t>
  </si>
  <si>
    <t xml:space="preserve">Packaging brandizzato (primo stock)</t>
  </si>
  <si>
    <t xml:space="preserve">Foto e menu per le piattaforme</t>
  </si>
  <si>
    <t xml:space="preserve">Deposito cauzionale (2 mesi)</t>
  </si>
  <si>
    <t xml:space="preserve">Totale investimento iniziale</t>
  </si>
  <si>
    <t xml:space="preserve">Conto economico mensile (6 mesi di test)</t>
  </si>
  <si>
    <t xml:space="preserve">Totale 6 mesi</t>
  </si>
  <si>
    <t xml:space="preserve">Ordini al giorno</t>
  </si>
  <si>
    <t xml:space="preserve">Ordini al mese</t>
  </si>
  <si>
    <t xml:space="preserve">Ricavi netti (IVA esclusa)</t>
  </si>
  <si>
    <t xml:space="preserve">Commissioni piattaforme e pagamenti</t>
  </si>
  <si>
    <t xml:space="preserve">Packaging</t>
  </si>
  <si>
    <t xml:space="preserve">Margine di contribuzione</t>
  </si>
  <si>
    <t xml:space="preserve">Costi fissi (canone, personale, marketing, varie)</t>
  </si>
  <si>
    <t xml:space="preserve">Risultato operativo del mese</t>
  </si>
  <si>
    <t xml:space="preserve">Cassa cumulata (dopo investimento iniziale)</t>
  </si>
  <si>
    <t xml:space="preserve">Indicatori</t>
  </si>
  <si>
    <t xml:space="preserve">Margine di contribuzione per ordine (€)</t>
  </si>
  <si>
    <t xml:space="preserve">Margine di contribuzione (% ricavi)</t>
  </si>
  <si>
    <t xml:space="preserve">Ordini al giorno per il pareggio</t>
  </si>
  <si>
    <t xml:space="preserve">Massimo fabbisogno di cassa (€)</t>
  </si>
  <si>
    <t xml:space="preserve">Riserva di cassa consigliata: 2 mesi di costi fissi (€)</t>
  </si>
  <si>
    <t xml:space="preserve">Capitale da mettere a rischio nella Fase 2 (€)</t>
  </si>
  <si>
    <t xml:space="preserve">di cui coperto dalle prevendite Founding Member (€)</t>
  </si>
  <si>
    <t xml:space="preserve">Investimento ristorante Milano</t>
  </si>
  <si>
    <t xml:space="preserve">Lavori e arredo (80–100 m²)</t>
  </si>
  <si>
    <t xml:space="preserve">Cucina e attrezzature</t>
  </si>
  <si>
    <t xml:space="preserve">Totem MACRO'S (3 postazioni, hardware)</t>
  </si>
  <si>
    <t xml:space="preserve">Progetto, licenze, SCIA</t>
  </si>
  <si>
    <t xml:space="preserve">Deposito cauzionale (3 mesi)</t>
  </si>
  <si>
    <t xml:space="preserve">Pre-apertura: stock, formazione, marketing</t>
  </si>
  <si>
    <t xml:space="preserve">Riserva: 3 mesi di costi fissi</t>
  </si>
  <si>
    <t xml:space="preserve">Totale capitale ristorante</t>
  </si>
  <si>
    <t xml:space="preserve">Conto economico mensile a regime</t>
  </si>
  <si>
    <t xml:space="preserve">Ricavi netti in negozio</t>
  </si>
  <si>
    <t xml:space="preserve">Ricavi netti delivery</t>
  </si>
  <si>
    <t xml:space="preserve">Ricavi netti totali</t>
  </si>
  <si>
    <t xml:space="preserve">Commissioni delivery</t>
  </si>
  <si>
    <t xml:space="preserve">Packaging delivery</t>
  </si>
  <si>
    <t xml:space="preserve">Personale</t>
  </si>
  <si>
    <t xml:space="preserve">Affitto</t>
  </si>
  <si>
    <t xml:space="preserve">Utenze, marketing, varie</t>
  </si>
  <si>
    <t xml:space="preserve">EBITDA mensile</t>
  </si>
  <si>
    <t xml:space="preserve">Ordini totali al giorno per il pareggio</t>
  </si>
  <si>
    <t xml:space="preserve">Rientro dell'investimento (mesi a regime)</t>
  </si>
  <si>
    <t xml:space="preserve">Gate</t>
  </si>
  <si>
    <t xml:space="preserve">Indicatore</t>
  </si>
  <si>
    <t xml:space="preserve">Direzione</t>
  </si>
  <si>
    <t xml:space="preserve">Soglia</t>
  </si>
  <si>
    <t xml:space="preserve">Valore reale</t>
  </si>
  <si>
    <t xml:space="preserve">Esito</t>
  </si>
  <si>
    <t xml:space="preserve">1 · Early Access → Ghost Kitchen</t>
  </si>
  <si>
    <t xml:space="preserve">Iscritti Early Access totali</t>
  </si>
  <si>
    <t xml:space="preserve">&gt;=</t>
  </si>
  <si>
    <t xml:space="preserve">Iscritti nella prima città</t>
  </si>
  <si>
    <t xml:space="preserve">Founding Member prepagati nella prima città</t>
  </si>
  <si>
    <t xml:space="preserve">Iscritti che dichiarano 2+ pasti a settimana</t>
  </si>
  <si>
    <t xml:space="preserve">Costo per iscritto (€)</t>
  </si>
  <si>
    <t xml:space="preserve">&lt;=</t>
  </si>
  <si>
    <t xml:space="preserve">2 · Ghost Kitchen → Ristorante</t>
  </si>
  <si>
    <t xml:space="preserve">Ordini al giorno, media del mese 6</t>
  </si>
  <si>
    <t xml:space="preserve">Clienti che riordinano entro 30 giorni</t>
  </si>
  <si>
    <t xml:space="preserve">Voto medio sulle piattaforme</t>
  </si>
  <si>
    <t xml:space="preserve">Quota ordini dal canale proprio (app/ritiro)</t>
  </si>
  <si>
    <t xml:space="preserve">Ordini concentrati in un raggio di 2 km</t>
  </si>
  <si>
    <t xml:space="preserve">3 · Ristorante → Replica</t>
  </si>
  <si>
    <t xml:space="preserve">Mesi consecutivi sopra il pareggio</t>
  </si>
  <si>
    <t xml:space="preserve">Food cost reale</t>
  </si>
  <si>
    <t xml:space="preserve">Iscritti Early Access nella città successiva</t>
  </si>
  <si>
    <t xml:space="preserve">Decisione</t>
  </si>
  <si>
    <t xml:space="preserve">Compila la colonna gialla con i dati reali. Un solo NO blocca il gate: correggi e rimisura prima di investire.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</si>
</sst>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€#,##0;&quot;(€&quot;#,##0\);\-"/>
    <numFmt numFmtId="166" formatCode="\€#,##0.00;&quot;(€&quot;#,##0.00\);\-"/>
    <numFmt numFmtId="167" formatCode="0.0%;\(0.0%\);\-"/>
    <numFmt numFmtId="168" formatCode="#,##0;\(#,##0\);\-"/>
    <numFmt numFmtId="169" formatCode="0.00\x"/>
    <numFmt numFmtId="170" formatCode="0"/>
    <numFmt numFmtId="171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4252A"/>
        <bgColor rgb="FF333300"/>
      </patternFill>
    </fill>
    <fill>
      <patternFill patternType="solid">
        <fgColor rgb="FFE8F5E8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5" t="n">
        <f aca="false">'Fase 0-1'!$C$11</f>
        <v>4000</v>
      </c>
      <c r="D2" s="6" t="n">
        <f aca="false">SUM($C$2:C2)</f>
        <v>4000</v>
      </c>
      <c r="E2" s="2" t="s">
        <v>21</v>
      </c>
      <c r="F2" s="2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  <c r="C3" s="5" t="n">
        <f aca="false">'Fase 0-1'!$C$12</f>
        <v>5600</v>
      </c>
      <c r="D3" s="6" t="n">
        <f aca="false">SUM($C$2:C3)</f>
        <v>9600</v>
      </c>
      <c r="E3" s="2" t="s">
        <v>21</v>
      </c>
      <c r="F3" s="2" t="s">
        <v>25</v>
      </c>
    </row>
    <row r="4" customFormat="false" ht="15" hidden="false" customHeight="false" outlineLevel="0" collapsed="false">
      <c r="A4" s="2" t="s">
        <v>26</v>
      </c>
      <c r="B4" s="2" t="s">
        <v>27</v>
      </c>
      <c r="C4" s="5" t="n">
        <f aca="false">'Ghost Kitchen'!$B$29</f>
        <v>70551.6818181818</v>
      </c>
      <c r="D4" s="6" t="n">
        <f aca="false">SUM($C$2:C4)</f>
        <v>80151.6818181818</v>
      </c>
      <c r="E4" s="2" t="s">
        <v>28</v>
      </c>
      <c r="F4" s="2" t="s">
        <v>29</v>
      </c>
    </row>
    <row r="5" customFormat="false" ht="15" hidden="false" customHeight="false" outlineLevel="0" collapsed="false">
      <c r="A5" s="2" t="s">
        <v>30</v>
      </c>
      <c r="B5" s="2" t="s">
        <v>31</v>
      </c>
      <c r="C5" s="5" t="n">
        <f aca="false">Ristorante!$B$10</f>
        <v>392400</v>
      </c>
      <c r="D5" s="6" t="n">
        <f aca="false">SUM($C$2:C5)</f>
        <v>472551.681818182</v>
      </c>
      <c r="E5" s="2" t="s">
        <v>32</v>
      </c>
      <c r="F5" s="2" t="s">
        <v>33</v>
      </c>
    </row>
    <row r="6" customFormat="false" ht="15" hidden="false" customHeight="false" outlineLevel="0" collapsed="false">
      <c r="A6" s="2" t="s">
        <v>34</v>
      </c>
      <c r="B6" s="2" t="s">
        <v>27</v>
      </c>
      <c r="C6" s="5" t="n">
        <f aca="false">'Ghost Kitchen'!$B$29*Ipotesi!$B$38</f>
        <v>70551.6818181818</v>
      </c>
      <c r="D6" s="6" t="n">
        <f aca="false">SUM($C$2:C6)</f>
        <v>543103.363636364</v>
      </c>
      <c r="E6" s="2" t="s">
        <v>35</v>
      </c>
      <c r="F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5" t="n">
        <f aca="false">Ristorante!$B$10*Ipotesi!$B$39</f>
        <v>353160</v>
      </c>
      <c r="D7" s="6" t="n">
        <f aca="false">SUM($C$2:C7)</f>
        <v>896263.363636364</v>
      </c>
      <c r="E7" s="2" t="s">
        <v>39</v>
      </c>
      <c r="F7" s="2" t="s">
        <v>40</v>
      </c>
    </row>
    <row r="9" customFormat="false" ht="15" hidden="false" customHeight="false" outlineLevel="0" collapsed="false">
      <c r="A9" s="7" t="s">
        <v>41</v>
      </c>
      <c r="B9" s="8"/>
      <c r="C9" s="9" t="n">
        <f aca="false">D4</f>
        <v>80151.6818181818</v>
      </c>
      <c r="D9" s="8"/>
      <c r="E9" s="8"/>
      <c r="F9" s="8"/>
    </row>
    <row r="10" customFormat="false" ht="15" hidden="false" customHeight="false" outlineLevel="0" collapsed="false">
      <c r="A10" s="7" t="s">
        <v>42</v>
      </c>
      <c r="B10" s="8"/>
      <c r="C10" s="9" t="n">
        <f aca="false">D4-'Fase 0-1'!$C$13</f>
        <v>67901.6818181818</v>
      </c>
      <c r="D10" s="8"/>
      <c r="E10" s="8"/>
      <c r="F1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4" t="s">
        <v>43</v>
      </c>
      <c r="B1" s="4" t="s">
        <v>44</v>
      </c>
      <c r="C1" s="4" t="s">
        <v>45</v>
      </c>
      <c r="D1" s="4" t="s">
        <v>46</v>
      </c>
    </row>
    <row r="2" customFormat="false" ht="15" hidden="false" customHeight="false" outlineLevel="0" collapsed="false">
      <c r="A2" s="7" t="s">
        <v>47</v>
      </c>
      <c r="B2" s="8"/>
      <c r="C2" s="8"/>
      <c r="D2" s="8"/>
    </row>
    <row r="3" customFormat="false" ht="15" hidden="false" customHeight="false" outlineLevel="0" collapsed="false">
      <c r="A3" s="2" t="s">
        <v>48</v>
      </c>
      <c r="B3" s="10" t="n">
        <v>13.5</v>
      </c>
      <c r="C3" s="2" t="s">
        <v>49</v>
      </c>
      <c r="D3" s="2" t="s">
        <v>50</v>
      </c>
    </row>
    <row r="4" customFormat="false" ht="15" hidden="false" customHeight="false" outlineLevel="0" collapsed="false">
      <c r="A4" s="2" t="s">
        <v>51</v>
      </c>
      <c r="B4" s="11" t="n">
        <v>13</v>
      </c>
      <c r="C4" s="2" t="s">
        <v>49</v>
      </c>
      <c r="D4" s="2" t="s">
        <v>52</v>
      </c>
    </row>
    <row r="5" customFormat="false" ht="15" hidden="false" customHeight="false" outlineLevel="0" collapsed="false">
      <c r="A5" s="2" t="s">
        <v>53</v>
      </c>
      <c r="B5" s="12" t="n">
        <v>0.1</v>
      </c>
      <c r="C5" s="2" t="s">
        <v>54</v>
      </c>
      <c r="D5" s="2" t="s">
        <v>55</v>
      </c>
    </row>
    <row r="6" customFormat="false" ht="15" hidden="false" customHeight="false" outlineLevel="0" collapsed="false">
      <c r="A6" s="2" t="s">
        <v>56</v>
      </c>
      <c r="B6" s="13" t="n">
        <v>0.32</v>
      </c>
      <c r="C6" s="2" t="s">
        <v>57</v>
      </c>
      <c r="D6" s="2" t="s">
        <v>58</v>
      </c>
    </row>
    <row r="7" customFormat="false" ht="15" hidden="false" customHeight="false" outlineLevel="0" collapsed="false">
      <c r="A7" s="2" t="s">
        <v>59</v>
      </c>
      <c r="B7" s="11" t="n">
        <v>0.6</v>
      </c>
      <c r="C7" s="2" t="s">
        <v>49</v>
      </c>
      <c r="D7" s="2" t="s">
        <v>60</v>
      </c>
    </row>
    <row r="8" customFormat="false" ht="15" hidden="false" customHeight="false" outlineLevel="0" collapsed="false">
      <c r="A8" s="7" t="s">
        <v>61</v>
      </c>
      <c r="B8" s="8"/>
      <c r="C8" s="8"/>
      <c r="D8" s="8"/>
    </row>
    <row r="9" customFormat="false" ht="15" hidden="false" customHeight="false" outlineLevel="0" collapsed="false">
      <c r="A9" s="2" t="s">
        <v>62</v>
      </c>
      <c r="B9" s="13" t="n">
        <v>0.7</v>
      </c>
      <c r="C9" s="2" t="s">
        <v>54</v>
      </c>
      <c r="D9" s="2" t="s">
        <v>63</v>
      </c>
    </row>
    <row r="10" customFormat="false" ht="15" hidden="false" customHeight="false" outlineLevel="0" collapsed="false">
      <c r="A10" s="2" t="s">
        <v>64</v>
      </c>
      <c r="B10" s="13" t="n">
        <v>0.3</v>
      </c>
      <c r="C10" s="2" t="s">
        <v>65</v>
      </c>
      <c r="D10" s="2" t="s">
        <v>66</v>
      </c>
    </row>
    <row r="11" customFormat="false" ht="15" hidden="false" customHeight="false" outlineLevel="0" collapsed="false">
      <c r="A11" s="2" t="s">
        <v>67</v>
      </c>
      <c r="B11" s="12" t="n">
        <v>0.03</v>
      </c>
      <c r="C11" s="2" t="s">
        <v>65</v>
      </c>
      <c r="D11" s="2" t="s">
        <v>68</v>
      </c>
    </row>
    <row r="12" customFormat="false" ht="15" hidden="false" customHeight="false" outlineLevel="0" collapsed="false">
      <c r="A12" s="7" t="s">
        <v>69</v>
      </c>
      <c r="B12" s="8"/>
      <c r="C12" s="8"/>
      <c r="D12" s="8"/>
    </row>
    <row r="13" customFormat="false" ht="15" hidden="false" customHeight="false" outlineLevel="0" collapsed="false">
      <c r="A13" s="2" t="s">
        <v>70</v>
      </c>
      <c r="B13" s="14" t="n">
        <v>49</v>
      </c>
      <c r="C13" s="2" t="s">
        <v>71</v>
      </c>
      <c r="D13" s="2" t="s">
        <v>72</v>
      </c>
    </row>
    <row r="14" customFormat="false" ht="15" hidden="false" customHeight="false" outlineLevel="0" collapsed="false">
      <c r="A14" s="2" t="s">
        <v>73</v>
      </c>
      <c r="B14" s="15" t="n">
        <v>250</v>
      </c>
      <c r="C14" s="2" t="s">
        <v>74</v>
      </c>
      <c r="D14" s="2" t="s">
        <v>75</v>
      </c>
    </row>
    <row r="15" customFormat="false" ht="15" hidden="false" customHeight="false" outlineLevel="0" collapsed="false">
      <c r="A15" s="7" t="s">
        <v>76</v>
      </c>
      <c r="B15" s="8"/>
      <c r="C15" s="8"/>
      <c r="D15" s="8"/>
    </row>
    <row r="16" customFormat="false" ht="15" hidden="false" customHeight="false" outlineLevel="0" collapsed="false">
      <c r="A16" s="2" t="s">
        <v>77</v>
      </c>
      <c r="B16" s="14" t="n">
        <v>3500</v>
      </c>
      <c r="C16" s="2" t="s">
        <v>78</v>
      </c>
      <c r="D16" s="2" t="s">
        <v>79</v>
      </c>
    </row>
    <row r="17" customFormat="false" ht="15" hidden="false" customHeight="false" outlineLevel="0" collapsed="false">
      <c r="A17" s="2" t="s">
        <v>80</v>
      </c>
      <c r="B17" s="14" t="n">
        <v>7500</v>
      </c>
      <c r="C17" s="2" t="s">
        <v>78</v>
      </c>
      <c r="D17" s="2" t="s">
        <v>81</v>
      </c>
    </row>
    <row r="18" customFormat="false" ht="15" hidden="false" customHeight="false" outlineLevel="0" collapsed="false">
      <c r="A18" s="2" t="s">
        <v>82</v>
      </c>
      <c r="B18" s="16" t="n">
        <v>1500</v>
      </c>
      <c r="C18" s="2" t="s">
        <v>78</v>
      </c>
      <c r="D18" s="2"/>
    </row>
    <row r="19" customFormat="false" ht="15" hidden="false" customHeight="false" outlineLevel="0" collapsed="false">
      <c r="A19" s="2" t="s">
        <v>83</v>
      </c>
      <c r="B19" s="16" t="n">
        <v>400</v>
      </c>
      <c r="C19" s="2" t="s">
        <v>78</v>
      </c>
      <c r="D19" s="2"/>
    </row>
    <row r="20" customFormat="false" ht="15" hidden="false" customHeight="false" outlineLevel="0" collapsed="false">
      <c r="A20" s="2" t="s">
        <v>84</v>
      </c>
      <c r="B20" s="17" t="n">
        <v>30</v>
      </c>
      <c r="C20" s="2" t="s">
        <v>85</v>
      </c>
      <c r="D20" s="2"/>
    </row>
    <row r="21" customFormat="false" ht="15" hidden="false" customHeight="false" outlineLevel="0" collapsed="false">
      <c r="A21" s="7" t="s">
        <v>86</v>
      </c>
      <c r="B21" s="8"/>
      <c r="C21" s="8"/>
      <c r="D21" s="8"/>
    </row>
    <row r="22" customFormat="false" ht="15" hidden="false" customHeight="false" outlineLevel="0" collapsed="false">
      <c r="A22" s="2" t="s">
        <v>87</v>
      </c>
      <c r="B22" s="15" t="n">
        <v>35</v>
      </c>
      <c r="C22" s="2" t="s">
        <v>88</v>
      </c>
      <c r="D22" s="2"/>
    </row>
    <row r="23" customFormat="false" ht="15" hidden="false" customHeight="false" outlineLevel="0" collapsed="false">
      <c r="A23" s="2" t="s">
        <v>89</v>
      </c>
      <c r="B23" s="15" t="n">
        <v>50</v>
      </c>
      <c r="C23" s="2" t="s">
        <v>88</v>
      </c>
      <c r="D23" s="2"/>
    </row>
    <row r="24" customFormat="false" ht="15" hidden="false" customHeight="false" outlineLevel="0" collapsed="false">
      <c r="A24" s="2" t="s">
        <v>90</v>
      </c>
      <c r="B24" s="15" t="n">
        <v>65</v>
      </c>
      <c r="C24" s="2" t="s">
        <v>88</v>
      </c>
      <c r="D24" s="2"/>
    </row>
    <row r="25" customFormat="false" ht="15" hidden="false" customHeight="false" outlineLevel="0" collapsed="false">
      <c r="A25" s="2" t="s">
        <v>91</v>
      </c>
      <c r="B25" s="15" t="n">
        <v>80</v>
      </c>
      <c r="C25" s="2" t="s">
        <v>88</v>
      </c>
      <c r="D25" s="2"/>
    </row>
    <row r="26" customFormat="false" ht="15" hidden="false" customHeight="false" outlineLevel="0" collapsed="false">
      <c r="A26" s="2" t="s">
        <v>92</v>
      </c>
      <c r="B26" s="15" t="n">
        <v>90</v>
      </c>
      <c r="C26" s="2" t="s">
        <v>88</v>
      </c>
      <c r="D26" s="2"/>
    </row>
    <row r="27" customFormat="false" ht="15" hidden="false" customHeight="false" outlineLevel="0" collapsed="false">
      <c r="A27" s="2" t="s">
        <v>93</v>
      </c>
      <c r="B27" s="15" t="n">
        <v>100</v>
      </c>
      <c r="C27" s="2" t="s">
        <v>88</v>
      </c>
      <c r="D27" s="2"/>
    </row>
    <row r="28" customFormat="false" ht="15" hidden="false" customHeight="false" outlineLevel="0" collapsed="false">
      <c r="A28" s="7" t="s">
        <v>94</v>
      </c>
      <c r="B28" s="8"/>
      <c r="C28" s="8"/>
      <c r="D28" s="8"/>
    </row>
    <row r="29" customFormat="false" ht="15" hidden="false" customHeight="false" outlineLevel="0" collapsed="false">
      <c r="A29" s="2" t="s">
        <v>95</v>
      </c>
      <c r="B29" s="15" t="n">
        <v>180</v>
      </c>
      <c r="C29" s="2" t="s">
        <v>88</v>
      </c>
      <c r="D29" s="2" t="s">
        <v>96</v>
      </c>
    </row>
    <row r="30" customFormat="false" ht="15" hidden="false" customHeight="false" outlineLevel="0" collapsed="false">
      <c r="A30" s="2" t="s">
        <v>97</v>
      </c>
      <c r="B30" s="15" t="n">
        <v>80</v>
      </c>
      <c r="C30" s="2" t="s">
        <v>88</v>
      </c>
      <c r="D30" s="2" t="s">
        <v>98</v>
      </c>
    </row>
    <row r="31" customFormat="false" ht="15" hidden="false" customHeight="false" outlineLevel="0" collapsed="false">
      <c r="A31" s="2" t="s">
        <v>99</v>
      </c>
      <c r="B31" s="14" t="n">
        <v>6000</v>
      </c>
      <c r="C31" s="2" t="s">
        <v>78</v>
      </c>
      <c r="D31" s="2" t="s">
        <v>100</v>
      </c>
    </row>
    <row r="32" customFormat="false" ht="15" hidden="false" customHeight="false" outlineLevel="0" collapsed="false">
      <c r="A32" s="2" t="s">
        <v>101</v>
      </c>
      <c r="B32" s="14" t="n">
        <v>32000</v>
      </c>
      <c r="C32" s="2" t="s">
        <v>78</v>
      </c>
      <c r="D32" s="2" t="s">
        <v>81</v>
      </c>
    </row>
    <row r="33" customFormat="false" ht="15" hidden="false" customHeight="false" outlineLevel="0" collapsed="false">
      <c r="A33" s="2" t="s">
        <v>102</v>
      </c>
      <c r="B33" s="16" t="n">
        <v>2500</v>
      </c>
      <c r="C33" s="2" t="s">
        <v>78</v>
      </c>
      <c r="D33" s="2"/>
    </row>
    <row r="34" customFormat="false" ht="15" hidden="false" customHeight="false" outlineLevel="0" collapsed="false">
      <c r="A34" s="2" t="s">
        <v>103</v>
      </c>
      <c r="B34" s="16" t="n">
        <v>2500</v>
      </c>
      <c r="C34" s="2" t="s">
        <v>78</v>
      </c>
      <c r="D34" s="2"/>
    </row>
    <row r="35" customFormat="false" ht="15" hidden="false" customHeight="false" outlineLevel="0" collapsed="false">
      <c r="A35" s="2" t="s">
        <v>104</v>
      </c>
      <c r="B35" s="16" t="n">
        <v>2000</v>
      </c>
      <c r="C35" s="2" t="s">
        <v>78</v>
      </c>
      <c r="D35" s="2"/>
    </row>
    <row r="36" customFormat="false" ht="15" hidden="false" customHeight="false" outlineLevel="0" collapsed="false">
      <c r="A36" s="2" t="s">
        <v>105</v>
      </c>
      <c r="B36" s="12" t="n">
        <v>0.1</v>
      </c>
      <c r="C36" s="2" t="s">
        <v>54</v>
      </c>
      <c r="D36" s="2"/>
    </row>
    <row r="37" customFormat="false" ht="15" hidden="false" customHeight="false" outlineLevel="0" collapsed="false">
      <c r="A37" s="7" t="s">
        <v>106</v>
      </c>
      <c r="B37" s="8"/>
      <c r="C37" s="8"/>
      <c r="D37" s="8"/>
    </row>
    <row r="38" customFormat="false" ht="15" hidden="false" customHeight="false" outlineLevel="0" collapsed="false">
      <c r="A38" s="2" t="s">
        <v>107</v>
      </c>
      <c r="B38" s="18" t="n">
        <v>1</v>
      </c>
      <c r="C38" s="2" t="s">
        <v>108</v>
      </c>
      <c r="D38" s="2" t="s">
        <v>109</v>
      </c>
    </row>
    <row r="39" customFormat="false" ht="15" hidden="false" customHeight="false" outlineLevel="0" collapsed="false">
      <c r="A39" s="2" t="s">
        <v>110</v>
      </c>
      <c r="B39" s="18" t="n">
        <v>0.9</v>
      </c>
      <c r="C39" s="2" t="s">
        <v>111</v>
      </c>
      <c r="D39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6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4" t="s">
        <v>13</v>
      </c>
      <c r="B1" s="4" t="s">
        <v>113</v>
      </c>
      <c r="C1" s="4" t="s">
        <v>114</v>
      </c>
      <c r="D1" s="4" t="s">
        <v>115</v>
      </c>
    </row>
    <row r="2" customFormat="false" ht="15" hidden="false" customHeight="false" outlineLevel="0" collapsed="false">
      <c r="A2" s="2" t="s">
        <v>116</v>
      </c>
      <c r="B2" s="2" t="s">
        <v>117</v>
      </c>
      <c r="C2" s="16" t="n">
        <v>300</v>
      </c>
      <c r="D2" s="2" t="s">
        <v>118</v>
      </c>
    </row>
    <row r="3" customFormat="false" ht="15" hidden="false" customHeight="false" outlineLevel="0" collapsed="false">
      <c r="A3" s="2" t="s">
        <v>116</v>
      </c>
      <c r="B3" s="2" t="s">
        <v>119</v>
      </c>
      <c r="C3" s="16" t="n">
        <v>1200</v>
      </c>
      <c r="D3" s="2"/>
    </row>
    <row r="4" customFormat="false" ht="15" hidden="false" customHeight="false" outlineLevel="0" collapsed="false">
      <c r="A4" s="2" t="s">
        <v>116</v>
      </c>
      <c r="B4" s="2" t="s">
        <v>120</v>
      </c>
      <c r="C4" s="16" t="n">
        <v>1500</v>
      </c>
      <c r="D4" s="2"/>
    </row>
    <row r="5" customFormat="false" ht="15" hidden="false" customHeight="false" outlineLevel="0" collapsed="false">
      <c r="A5" s="2" t="s">
        <v>116</v>
      </c>
      <c r="B5" s="2" t="s">
        <v>121</v>
      </c>
      <c r="C5" s="16" t="n">
        <v>600</v>
      </c>
      <c r="D5" s="2"/>
    </row>
    <row r="6" customFormat="false" ht="15" hidden="false" customHeight="false" outlineLevel="0" collapsed="false">
      <c r="A6" s="2" t="s">
        <v>116</v>
      </c>
      <c r="B6" s="2" t="s">
        <v>122</v>
      </c>
      <c r="C6" s="16" t="n">
        <v>400</v>
      </c>
      <c r="D6" s="2" t="s">
        <v>123</v>
      </c>
    </row>
    <row r="7" customFormat="false" ht="15" hidden="false" customHeight="false" outlineLevel="0" collapsed="false">
      <c r="A7" s="2" t="s">
        <v>124</v>
      </c>
      <c r="B7" s="2" t="s">
        <v>125</v>
      </c>
      <c r="C7" s="16" t="n">
        <v>1800</v>
      </c>
      <c r="D7" s="2"/>
    </row>
    <row r="8" customFormat="false" ht="15" hidden="false" customHeight="false" outlineLevel="0" collapsed="false">
      <c r="A8" s="2" t="s">
        <v>124</v>
      </c>
      <c r="B8" s="2" t="s">
        <v>126</v>
      </c>
      <c r="C8" s="16" t="n">
        <v>2500</v>
      </c>
      <c r="D8" s="2" t="s">
        <v>127</v>
      </c>
    </row>
    <row r="9" customFormat="false" ht="15" hidden="false" customHeight="false" outlineLevel="0" collapsed="false">
      <c r="A9" s="2" t="s">
        <v>124</v>
      </c>
      <c r="B9" s="2" t="s">
        <v>128</v>
      </c>
      <c r="C9" s="16" t="n">
        <v>300</v>
      </c>
      <c r="D9" s="2"/>
    </row>
    <row r="10" customFormat="false" ht="15" hidden="false" customHeight="false" outlineLevel="0" collapsed="false">
      <c r="A10" s="2" t="s">
        <v>124</v>
      </c>
      <c r="B10" s="2" t="s">
        <v>129</v>
      </c>
      <c r="C10" s="16" t="n">
        <v>1000</v>
      </c>
      <c r="D10" s="2"/>
    </row>
    <row r="11" customFormat="false" ht="15" hidden="false" customHeight="false" outlineLevel="0" collapsed="false">
      <c r="A11" s="8"/>
      <c r="B11" s="7" t="s">
        <v>130</v>
      </c>
      <c r="C11" s="9" t="n">
        <f aca="false">SUMIFS(C2:C10,A2:A10,"Fase 0")</f>
        <v>4000</v>
      </c>
      <c r="D11" s="8"/>
    </row>
    <row r="12" customFormat="false" ht="15" hidden="false" customHeight="false" outlineLevel="0" collapsed="false">
      <c r="A12" s="8"/>
      <c r="B12" s="7" t="s">
        <v>131</v>
      </c>
      <c r="C12" s="9" t="n">
        <f aca="false">SUMIFS(C2:C10,A2:A10,"Fase 1")</f>
        <v>5600</v>
      </c>
      <c r="D12" s="8"/>
    </row>
    <row r="13" customFormat="false" ht="15" hidden="false" customHeight="false" outlineLevel="0" collapsed="false">
      <c r="A13" s="8"/>
      <c r="B13" s="7" t="s">
        <v>132</v>
      </c>
      <c r="C13" s="19" t="n">
        <f aca="false">Ipotesi!$B$13*Ipotesi!$B$14</f>
        <v>12250</v>
      </c>
      <c r="D13" s="2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3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3" t="s">
        <v>134</v>
      </c>
    </row>
    <row r="2" customFormat="false" ht="15" hidden="false" customHeight="false" outlineLevel="0" collapsed="false">
      <c r="A2" s="2" t="s">
        <v>135</v>
      </c>
      <c r="B2" s="16" t="n">
        <v>12000</v>
      </c>
    </row>
    <row r="3" customFormat="false" ht="15" hidden="false" customHeight="false" outlineLevel="0" collapsed="false">
      <c r="A3" s="2" t="s">
        <v>136</v>
      </c>
      <c r="B3" s="16" t="n">
        <v>3000</v>
      </c>
    </row>
    <row r="4" customFormat="false" ht="15" hidden="false" customHeight="false" outlineLevel="0" collapsed="false">
      <c r="A4" s="2" t="s">
        <v>137</v>
      </c>
      <c r="B4" s="16" t="n">
        <v>2000</v>
      </c>
    </row>
    <row r="5" customFormat="false" ht="15" hidden="false" customHeight="false" outlineLevel="0" collapsed="false">
      <c r="A5" s="2" t="s">
        <v>138</v>
      </c>
      <c r="B5" s="16" t="n">
        <v>1500</v>
      </c>
    </row>
    <row r="6" customFormat="false" ht="15" hidden="false" customHeight="false" outlineLevel="0" collapsed="false">
      <c r="A6" s="2" t="s">
        <v>139</v>
      </c>
      <c r="B6" s="16" t="n">
        <v>7000</v>
      </c>
    </row>
    <row r="7" customFormat="false" ht="15" hidden="false" customHeight="false" outlineLevel="0" collapsed="false">
      <c r="A7" s="2" t="s">
        <v>129</v>
      </c>
      <c r="B7" s="6" t="n">
        <f aca="false">SUM(B2:B6)*Ipotesi!$B$36</f>
        <v>2550</v>
      </c>
    </row>
    <row r="8" customFormat="false" ht="15" hidden="false" customHeight="false" outlineLevel="0" collapsed="false">
      <c r="A8" s="3" t="s">
        <v>140</v>
      </c>
      <c r="B8" s="21" t="n">
        <f aca="false">SUM(B2:B7)</f>
        <v>28050</v>
      </c>
    </row>
    <row r="10" customFormat="false" ht="15" hidden="false" customHeight="false" outlineLevel="0" collapsed="false">
      <c r="A10" s="3" t="s">
        <v>141</v>
      </c>
    </row>
    <row r="11" customFormat="false" ht="15" hidden="false" customHeight="false" outlineLevel="0" collapsed="false">
      <c r="A11" s="22" t="s">
        <v>113</v>
      </c>
      <c r="B11" s="22" t="s">
        <v>87</v>
      </c>
      <c r="C11" s="22" t="s">
        <v>89</v>
      </c>
      <c r="D11" s="22" t="s">
        <v>90</v>
      </c>
      <c r="E11" s="22" t="s">
        <v>91</v>
      </c>
      <c r="F11" s="22" t="s">
        <v>92</v>
      </c>
      <c r="G11" s="22" t="s">
        <v>93</v>
      </c>
      <c r="H11" s="22" t="s">
        <v>142</v>
      </c>
    </row>
    <row r="12" customFormat="false" ht="15" hidden="false" customHeight="false" outlineLevel="0" collapsed="false">
      <c r="A12" s="2" t="s">
        <v>143</v>
      </c>
      <c r="B12" s="23" t="n">
        <f aca="false">Ipotesi!$B$22</f>
        <v>35</v>
      </c>
      <c r="C12" s="23" t="n">
        <f aca="false">Ipotesi!$B$23</f>
        <v>50</v>
      </c>
      <c r="D12" s="23" t="n">
        <f aca="false">Ipotesi!$B$24</f>
        <v>65</v>
      </c>
      <c r="E12" s="23" t="n">
        <f aca="false">Ipotesi!$B$25</f>
        <v>80</v>
      </c>
      <c r="F12" s="23" t="n">
        <f aca="false">Ipotesi!$B$26</f>
        <v>90</v>
      </c>
      <c r="G12" s="23" t="n">
        <f aca="false">Ipotesi!$B$27</f>
        <v>100</v>
      </c>
    </row>
    <row r="13" customFormat="false" ht="15" hidden="false" customHeight="false" outlineLevel="0" collapsed="false">
      <c r="A13" s="2" t="s">
        <v>144</v>
      </c>
      <c r="B13" s="24" t="n">
        <f aca="false">B12*Ipotesi!$B$20</f>
        <v>1050</v>
      </c>
      <c r="C13" s="24" t="n">
        <f aca="false">C12*Ipotesi!$B$20</f>
        <v>1500</v>
      </c>
      <c r="D13" s="24" t="n">
        <f aca="false">D12*Ipotesi!$B$20</f>
        <v>1950</v>
      </c>
      <c r="E13" s="24" t="n">
        <f aca="false">E12*Ipotesi!$B$20</f>
        <v>2400</v>
      </c>
      <c r="F13" s="24" t="n">
        <f aca="false">F12*Ipotesi!$B$20</f>
        <v>2700</v>
      </c>
      <c r="G13" s="24" t="n">
        <f aca="false">G12*Ipotesi!$B$20</f>
        <v>3000</v>
      </c>
      <c r="H13" s="25" t="n">
        <f aca="false">SUM(B13:G13)</f>
        <v>12600</v>
      </c>
    </row>
    <row r="14" customFormat="false" ht="15" hidden="false" customHeight="false" outlineLevel="0" collapsed="false">
      <c r="A14" s="3" t="s">
        <v>145</v>
      </c>
      <c r="B14" s="21" t="n">
        <f aca="false">B13*Ipotesi!$B$3/(1+Ipotesi!$B$5)</f>
        <v>12886.3636363636</v>
      </c>
      <c r="C14" s="21" t="n">
        <f aca="false">C13*Ipotesi!$B$3/(1+Ipotesi!$B$5)</f>
        <v>18409.0909090909</v>
      </c>
      <c r="D14" s="21" t="n">
        <f aca="false">D13*Ipotesi!$B$3/(1+Ipotesi!$B$5)</f>
        <v>23931.8181818182</v>
      </c>
      <c r="E14" s="21" t="n">
        <f aca="false">E13*Ipotesi!$B$3/(1+Ipotesi!$B$5)</f>
        <v>29454.5454545455</v>
      </c>
      <c r="F14" s="21" t="n">
        <f aca="false">F13*Ipotesi!$B$3/(1+Ipotesi!$B$5)</f>
        <v>33136.3636363636</v>
      </c>
      <c r="G14" s="21" t="n">
        <f aca="false">G13*Ipotesi!$B$3/(1+Ipotesi!$B$5)</f>
        <v>36818.1818181818</v>
      </c>
      <c r="H14" s="21" t="n">
        <f aca="false">SUM(B14:G14)</f>
        <v>154636.363636364</v>
      </c>
    </row>
    <row r="15" customFormat="false" ht="15" hidden="false" customHeight="false" outlineLevel="0" collapsed="false">
      <c r="A15" s="2" t="s">
        <v>56</v>
      </c>
      <c r="B15" s="6" t="n">
        <f aca="false">-B14*Ipotesi!$B$6</f>
        <v>-4123.63636363636</v>
      </c>
      <c r="C15" s="6" t="n">
        <f aca="false">-C14*Ipotesi!$B$6</f>
        <v>-5890.90909090909</v>
      </c>
      <c r="D15" s="6" t="n">
        <f aca="false">-D14*Ipotesi!$B$6</f>
        <v>-7658.18181818182</v>
      </c>
      <c r="E15" s="6" t="n">
        <f aca="false">-E14*Ipotesi!$B$6</f>
        <v>-9425.45454545454</v>
      </c>
      <c r="F15" s="6" t="n">
        <f aca="false">-F14*Ipotesi!$B$6</f>
        <v>-10603.6363636364</v>
      </c>
      <c r="G15" s="6" t="n">
        <f aca="false">-G14*Ipotesi!$B$6</f>
        <v>-11781.8181818182</v>
      </c>
      <c r="H15" s="21" t="n">
        <f aca="false">SUM(B15:G15)</f>
        <v>-49483.6363636364</v>
      </c>
    </row>
    <row r="16" customFormat="false" ht="15" hidden="false" customHeight="false" outlineLevel="0" collapsed="false">
      <c r="A16" s="2" t="s">
        <v>146</v>
      </c>
      <c r="B16" s="6" t="n">
        <f aca="false">-B14*(Ipotesi!$B$9*Ipotesi!$B$10+(1-Ipotesi!$B$9)*Ipotesi!$B$11)</f>
        <v>-2822.11363636364</v>
      </c>
      <c r="C16" s="6" t="n">
        <f aca="false">-C14*(Ipotesi!$B$9*Ipotesi!$B$10+(1-Ipotesi!$B$9)*Ipotesi!$B$11)</f>
        <v>-4031.59090909091</v>
      </c>
      <c r="D16" s="6" t="n">
        <f aca="false">-D14*(Ipotesi!$B$9*Ipotesi!$B$10+(1-Ipotesi!$B$9)*Ipotesi!$B$11)</f>
        <v>-5241.06818181818</v>
      </c>
      <c r="E16" s="6" t="n">
        <f aca="false">-E14*(Ipotesi!$B$9*Ipotesi!$B$10+(1-Ipotesi!$B$9)*Ipotesi!$B$11)</f>
        <v>-6450.54545454545</v>
      </c>
      <c r="F16" s="6" t="n">
        <f aca="false">-F14*(Ipotesi!$B$9*Ipotesi!$B$10+(1-Ipotesi!$B$9)*Ipotesi!$B$11)</f>
        <v>-7256.86363636364</v>
      </c>
      <c r="G16" s="6" t="n">
        <f aca="false">-G14*(Ipotesi!$B$9*Ipotesi!$B$10+(1-Ipotesi!$B$9)*Ipotesi!$B$11)</f>
        <v>-8063.18181818182</v>
      </c>
      <c r="H16" s="21" t="n">
        <f aca="false">SUM(B16:G16)</f>
        <v>-33865.3636363636</v>
      </c>
    </row>
    <row r="17" customFormat="false" ht="15" hidden="false" customHeight="false" outlineLevel="0" collapsed="false">
      <c r="A17" s="2" t="s">
        <v>147</v>
      </c>
      <c r="B17" s="6" t="n">
        <f aca="false">-B13*Ipotesi!$B$7</f>
        <v>-630</v>
      </c>
      <c r="C17" s="6" t="n">
        <f aca="false">-C13*Ipotesi!$B$7</f>
        <v>-900</v>
      </c>
      <c r="D17" s="6" t="n">
        <f aca="false">-D13*Ipotesi!$B$7</f>
        <v>-1170</v>
      </c>
      <c r="E17" s="6" t="n">
        <f aca="false">-E13*Ipotesi!$B$7</f>
        <v>-1440</v>
      </c>
      <c r="F17" s="6" t="n">
        <f aca="false">-F13*Ipotesi!$B$7</f>
        <v>-1620</v>
      </c>
      <c r="G17" s="6" t="n">
        <f aca="false">-G13*Ipotesi!$B$7</f>
        <v>-1800</v>
      </c>
      <c r="H17" s="21" t="n">
        <f aca="false">SUM(B17:G17)</f>
        <v>-7560</v>
      </c>
    </row>
    <row r="18" customFormat="false" ht="15" hidden="false" customHeight="false" outlineLevel="0" collapsed="false">
      <c r="A18" s="3" t="s">
        <v>148</v>
      </c>
      <c r="B18" s="21" t="n">
        <f aca="false">SUM(B14:B17)</f>
        <v>5310.61363636364</v>
      </c>
      <c r="C18" s="21" t="n">
        <f aca="false">SUM(C14:C17)</f>
        <v>7586.59090909091</v>
      </c>
      <c r="D18" s="21" t="n">
        <f aca="false">SUM(D14:D17)</f>
        <v>9862.56818181818</v>
      </c>
      <c r="E18" s="21" t="n">
        <f aca="false">SUM(E14:E17)</f>
        <v>12138.5454545455</v>
      </c>
      <c r="F18" s="21" t="n">
        <f aca="false">SUM(F14:F17)</f>
        <v>13655.8636363636</v>
      </c>
      <c r="G18" s="21" t="n">
        <f aca="false">SUM(G14:G17)</f>
        <v>15173.1818181818</v>
      </c>
      <c r="H18" s="21" t="n">
        <f aca="false">SUM(B18:G18)</f>
        <v>63727.3636363636</v>
      </c>
    </row>
    <row r="19" customFormat="false" ht="15" hidden="false" customHeight="false" outlineLevel="0" collapsed="false">
      <c r="A19" s="2" t="s">
        <v>149</v>
      </c>
      <c r="B19" s="6" t="n">
        <f aca="false">-(Ipotesi!$B$16+Ipotesi!$B$17+Ipotesi!$B$18+Ipotesi!$B$19)</f>
        <v>-12900</v>
      </c>
      <c r="C19" s="6" t="n">
        <f aca="false">-(Ipotesi!$B$16+Ipotesi!$B$17+Ipotesi!$B$18+Ipotesi!$B$19)</f>
        <v>-12900</v>
      </c>
      <c r="D19" s="6" t="n">
        <f aca="false">-(Ipotesi!$B$16+Ipotesi!$B$17+Ipotesi!$B$18+Ipotesi!$B$19)</f>
        <v>-12900</v>
      </c>
      <c r="E19" s="6" t="n">
        <f aca="false">-(Ipotesi!$B$16+Ipotesi!$B$17+Ipotesi!$B$18+Ipotesi!$B$19)</f>
        <v>-12900</v>
      </c>
      <c r="F19" s="6" t="n">
        <f aca="false">-(Ipotesi!$B$16+Ipotesi!$B$17+Ipotesi!$B$18+Ipotesi!$B$19)</f>
        <v>-12900</v>
      </c>
      <c r="G19" s="6" t="n">
        <f aca="false">-(Ipotesi!$B$16+Ipotesi!$B$17+Ipotesi!$B$18+Ipotesi!$B$19)</f>
        <v>-12900</v>
      </c>
      <c r="H19" s="21" t="n">
        <f aca="false">SUM(B19:G19)</f>
        <v>-77400</v>
      </c>
    </row>
    <row r="20" customFormat="false" ht="15" hidden="false" customHeight="false" outlineLevel="0" collapsed="false">
      <c r="A20" s="3" t="s">
        <v>150</v>
      </c>
      <c r="B20" s="21" t="n">
        <f aca="false">B18+B19</f>
        <v>-7589.38636363636</v>
      </c>
      <c r="C20" s="21" t="n">
        <f aca="false">C18+C19</f>
        <v>-5313.40909090909</v>
      </c>
      <c r="D20" s="21" t="n">
        <f aca="false">D18+D19</f>
        <v>-3037.43181818182</v>
      </c>
      <c r="E20" s="21" t="n">
        <f aca="false">E18+E19</f>
        <v>-761.454545454546</v>
      </c>
      <c r="F20" s="21" t="n">
        <f aca="false">F18+F19</f>
        <v>755.863636363636</v>
      </c>
      <c r="G20" s="21" t="n">
        <f aca="false">G18+G19</f>
        <v>2273.18181818182</v>
      </c>
      <c r="H20" s="21" t="n">
        <f aca="false">SUM(B20:G20)</f>
        <v>-13672.6363636364</v>
      </c>
    </row>
    <row r="21" customFormat="false" ht="15" hidden="false" customHeight="false" outlineLevel="0" collapsed="false">
      <c r="A21" s="7" t="s">
        <v>151</v>
      </c>
      <c r="B21" s="9" t="n">
        <f aca="false">-'Ghost Kitchen'!$B$8+B20</f>
        <v>-35639.3863636364</v>
      </c>
      <c r="C21" s="9" t="n">
        <f aca="false">B21+C20</f>
        <v>-40952.7954545455</v>
      </c>
      <c r="D21" s="9" t="n">
        <f aca="false">C21+D20</f>
        <v>-43990.2272727273</v>
      </c>
      <c r="E21" s="9" t="n">
        <f aca="false">D21+E20</f>
        <v>-44751.6818181818</v>
      </c>
      <c r="F21" s="9" t="n">
        <f aca="false">E21+F20</f>
        <v>-43995.8181818182</v>
      </c>
      <c r="G21" s="9" t="n">
        <f aca="false">F21+G20</f>
        <v>-41722.6363636364</v>
      </c>
      <c r="H21" s="8"/>
    </row>
    <row r="23" customFormat="false" ht="15" hidden="false" customHeight="false" outlineLevel="0" collapsed="false">
      <c r="A23" s="3" t="s">
        <v>152</v>
      </c>
    </row>
    <row r="24" customFormat="false" ht="15" hidden="false" customHeight="false" outlineLevel="0" collapsed="false">
      <c r="A24" s="2" t="s">
        <v>153</v>
      </c>
      <c r="B24" s="26" t="n">
        <f aca="false">IFERROR(H18/H13,0)</f>
        <v>5.05772727272727</v>
      </c>
    </row>
    <row r="25" customFormat="false" ht="15" hidden="false" customHeight="false" outlineLevel="0" collapsed="false">
      <c r="A25" s="2" t="s">
        <v>154</v>
      </c>
      <c r="B25" s="27" t="n">
        <f aca="false">IFERROR(H18/H14,0)</f>
        <v>0.412111111111111</v>
      </c>
    </row>
    <row r="26" customFormat="false" ht="15" hidden="false" customHeight="false" outlineLevel="0" collapsed="false">
      <c r="A26" s="2" t="s">
        <v>155</v>
      </c>
      <c r="B26" s="28" t="n">
        <f aca="false">IFERROR((Ipotesi!$B$16+Ipotesi!$B$17+Ipotesi!$B$18+Ipotesi!$B$19)/'Ghost Kitchen'!$B$24/Ipotesi!$B$20,0)</f>
        <v>85.0184236541745</v>
      </c>
    </row>
    <row r="27" customFormat="false" ht="15" hidden="false" customHeight="false" outlineLevel="0" collapsed="false">
      <c r="A27" s="2" t="s">
        <v>156</v>
      </c>
      <c r="B27" s="21" t="n">
        <f aca="false">-MIN(B21:G21)</f>
        <v>44751.6818181818</v>
      </c>
    </row>
    <row r="28" customFormat="false" ht="15" hidden="false" customHeight="false" outlineLevel="0" collapsed="false">
      <c r="A28" s="2" t="s">
        <v>157</v>
      </c>
      <c r="B28" s="21" t="n">
        <f aca="false">2*(Ipotesi!$B$16+Ipotesi!$B$17+Ipotesi!$B$18+Ipotesi!$B$19)</f>
        <v>25800</v>
      </c>
    </row>
    <row r="29" customFormat="false" ht="15" hidden="false" customHeight="false" outlineLevel="0" collapsed="false">
      <c r="A29" s="2" t="s">
        <v>158</v>
      </c>
      <c r="B29" s="21" t="n">
        <f aca="false">'Ghost Kitchen'!$B$27+'Ghost Kitchen'!$B$28</f>
        <v>70551.6818181818</v>
      </c>
    </row>
    <row r="30" customFormat="false" ht="15" hidden="false" customHeight="false" outlineLevel="0" collapsed="false">
      <c r="A30" s="2" t="s">
        <v>159</v>
      </c>
      <c r="B30" s="5" t="n">
        <f aca="false">'Fase 0-1'!$C$13</f>
        <v>12250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5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3" t="s">
        <v>160</v>
      </c>
    </row>
    <row r="2" customFormat="false" ht="15" hidden="false" customHeight="false" outlineLevel="0" collapsed="false">
      <c r="A2" s="2" t="s">
        <v>161</v>
      </c>
      <c r="B2" s="16" t="n">
        <v>120000</v>
      </c>
    </row>
    <row r="3" customFormat="false" ht="15" hidden="false" customHeight="false" outlineLevel="0" collapsed="false">
      <c r="A3" s="2" t="s">
        <v>162</v>
      </c>
      <c r="B3" s="16" t="n">
        <v>60000</v>
      </c>
    </row>
    <row r="4" customFormat="false" ht="15" hidden="false" customHeight="false" outlineLevel="0" collapsed="false">
      <c r="A4" s="2" t="s">
        <v>163</v>
      </c>
      <c r="B4" s="16" t="n">
        <v>9000</v>
      </c>
    </row>
    <row r="5" customFormat="false" ht="15" hidden="false" customHeight="false" outlineLevel="0" collapsed="false">
      <c r="A5" s="2" t="s">
        <v>164</v>
      </c>
      <c r="B5" s="16" t="n">
        <v>12000</v>
      </c>
    </row>
    <row r="6" customFormat="false" ht="15" hidden="false" customHeight="false" outlineLevel="0" collapsed="false">
      <c r="A6" s="2" t="s">
        <v>165</v>
      </c>
      <c r="B6" s="16" t="n">
        <v>18000</v>
      </c>
    </row>
    <row r="7" customFormat="false" ht="15" hidden="false" customHeight="false" outlineLevel="0" collapsed="false">
      <c r="A7" s="2" t="s">
        <v>166</v>
      </c>
      <c r="B7" s="16" t="n">
        <v>15000</v>
      </c>
    </row>
    <row r="8" customFormat="false" ht="15" hidden="false" customHeight="false" outlineLevel="0" collapsed="false">
      <c r="A8" s="2" t="s">
        <v>129</v>
      </c>
      <c r="B8" s="6" t="n">
        <f aca="false">SUM(B2:B7)*Ipotesi!$B$36</f>
        <v>23400</v>
      </c>
    </row>
    <row r="9" customFormat="false" ht="15" hidden="false" customHeight="false" outlineLevel="0" collapsed="false">
      <c r="A9" s="2" t="s">
        <v>167</v>
      </c>
      <c r="B9" s="6" t="n">
        <f aca="false">3*(Ipotesi!$B$31+Ipotesi!$B$32+Ipotesi!$B$33+Ipotesi!$B$34+Ipotesi!$B$35)</f>
        <v>135000</v>
      </c>
    </row>
    <row r="10" customFormat="false" ht="15" hidden="false" customHeight="false" outlineLevel="0" collapsed="false">
      <c r="A10" s="7" t="s">
        <v>168</v>
      </c>
      <c r="B10" s="9" t="n">
        <f aca="false">SUM(B2:B9)</f>
        <v>392400</v>
      </c>
    </row>
    <row r="12" customFormat="false" ht="15" hidden="false" customHeight="false" outlineLevel="0" collapsed="false">
      <c r="A12" s="3" t="s">
        <v>169</v>
      </c>
    </row>
    <row r="13" customFormat="false" ht="15" hidden="false" customHeight="false" outlineLevel="0" collapsed="false">
      <c r="A13" s="4" t="s">
        <v>113</v>
      </c>
      <c r="B13" s="4" t="s">
        <v>78</v>
      </c>
      <c r="C13" s="4" t="s">
        <v>65</v>
      </c>
    </row>
    <row r="14" customFormat="false" ht="15" hidden="false" customHeight="false" outlineLevel="0" collapsed="false">
      <c r="A14" s="2" t="s">
        <v>170</v>
      </c>
      <c r="B14" s="6" t="n">
        <f aca="false">Ipotesi!$B$29*Ipotesi!$B$4/(1+Ipotesi!$B$5)*Ipotesi!$B$20</f>
        <v>63818.1818181818</v>
      </c>
      <c r="C14" s="29" t="n">
        <f aca="false">IFERROR(B14/B$16,0)</f>
        <v>0.684210526315789</v>
      </c>
    </row>
    <row r="15" customFormat="false" ht="15" hidden="false" customHeight="false" outlineLevel="0" collapsed="false">
      <c r="A15" s="2" t="s">
        <v>171</v>
      </c>
      <c r="B15" s="6" t="n">
        <f aca="false">Ipotesi!$B$30*Ipotesi!$B$3/(1+Ipotesi!$B$5)*Ipotesi!$B$20</f>
        <v>29454.5454545455</v>
      </c>
      <c r="C15" s="29" t="n">
        <f aca="false">IFERROR(B15/B$16,0)</f>
        <v>0.315789473684211</v>
      </c>
    </row>
    <row r="16" customFormat="false" ht="15" hidden="false" customHeight="false" outlineLevel="0" collapsed="false">
      <c r="A16" s="3" t="s">
        <v>172</v>
      </c>
      <c r="B16" s="21" t="n">
        <f aca="false">B14+B15</f>
        <v>93272.7272727273</v>
      </c>
      <c r="C16" s="29" t="n">
        <f aca="false">IFERROR(B16/B$16,0)</f>
        <v>1</v>
      </c>
    </row>
    <row r="17" customFormat="false" ht="15" hidden="false" customHeight="false" outlineLevel="0" collapsed="false">
      <c r="A17" s="2" t="s">
        <v>56</v>
      </c>
      <c r="B17" s="6" t="n">
        <f aca="false">-B16*Ipotesi!$B$6</f>
        <v>-29847.2727272727</v>
      </c>
      <c r="C17" s="29" t="n">
        <f aca="false">IFERROR(B17/B$16,0)</f>
        <v>-0.32</v>
      </c>
    </row>
    <row r="18" customFormat="false" ht="15" hidden="false" customHeight="false" outlineLevel="0" collapsed="false">
      <c r="A18" s="2" t="s">
        <v>173</v>
      </c>
      <c r="B18" s="6" t="n">
        <f aca="false">-B15*(Ipotesi!$B$9*Ipotesi!$B$10+(1-Ipotesi!$B$9)*Ipotesi!$B$11)</f>
        <v>-6450.54545454545</v>
      </c>
      <c r="C18" s="29" t="n">
        <f aca="false">IFERROR(B18/B$16,0)</f>
        <v>-0.0691578947368421</v>
      </c>
    </row>
    <row r="19" customFormat="false" ht="15" hidden="false" customHeight="false" outlineLevel="0" collapsed="false">
      <c r="A19" s="2" t="s">
        <v>174</v>
      </c>
      <c r="B19" s="6" t="n">
        <f aca="false">-Ipotesi!$B$30*Ipotesi!$B$20*Ipotesi!$B$7</f>
        <v>-1440</v>
      </c>
      <c r="C19" s="29" t="n">
        <f aca="false">IFERROR(B19/B$16,0)</f>
        <v>-0.0154385964912281</v>
      </c>
    </row>
    <row r="20" customFormat="false" ht="15" hidden="false" customHeight="false" outlineLevel="0" collapsed="false">
      <c r="A20" s="2" t="s">
        <v>175</v>
      </c>
      <c r="B20" s="6" t="n">
        <f aca="false">-Ipotesi!$B$32</f>
        <v>-32000</v>
      </c>
      <c r="C20" s="29" t="n">
        <f aca="false">IFERROR(B20/B$16,0)</f>
        <v>-0.343079922027291</v>
      </c>
    </row>
    <row r="21" customFormat="false" ht="15" hidden="false" customHeight="false" outlineLevel="0" collapsed="false">
      <c r="A21" s="2" t="s">
        <v>176</v>
      </c>
      <c r="B21" s="6" t="n">
        <f aca="false">-Ipotesi!$B$31</f>
        <v>-6000</v>
      </c>
      <c r="C21" s="29" t="n">
        <f aca="false">IFERROR(B21/B$16,0)</f>
        <v>-0.064327485380117</v>
      </c>
    </row>
    <row r="22" customFormat="false" ht="15" hidden="false" customHeight="false" outlineLevel="0" collapsed="false">
      <c r="A22" s="2" t="s">
        <v>177</v>
      </c>
      <c r="B22" s="6" t="n">
        <f aca="false">-(Ipotesi!$B$33+Ipotesi!$B$34+Ipotesi!$B$35)</f>
        <v>-7000</v>
      </c>
      <c r="C22" s="29" t="n">
        <f aca="false">IFERROR(B22/B$16,0)</f>
        <v>-0.0750487329434698</v>
      </c>
    </row>
    <row r="23" customFormat="false" ht="15" hidden="false" customHeight="false" outlineLevel="0" collapsed="false">
      <c r="A23" s="7" t="s">
        <v>178</v>
      </c>
      <c r="B23" s="9" t="n">
        <f aca="false">SUM(B16:B22)</f>
        <v>10534.9090909091</v>
      </c>
      <c r="C23" s="30" t="n">
        <f aca="false">IFERROR(B23/B$16,0)</f>
        <v>0.112947368421053</v>
      </c>
    </row>
    <row r="25" customFormat="false" ht="15" hidden="false" customHeight="false" outlineLevel="0" collapsed="false">
      <c r="A25" s="2" t="s">
        <v>179</v>
      </c>
      <c r="B25" s="28" t="n">
        <f aca="false">IFERROR((Ipotesi!$B$31+Ipotesi!$B$32+Ipotesi!$B$33+Ipotesi!$B$34+Ipotesi!$B$35)/((B16+B17+B18+B19)/((Ipotesi!$B$29+Ipotesi!$B$30)*Ipotesi!$B$20))/Ipotesi!$B$20,0)</f>
        <v>210.678295715717</v>
      </c>
    </row>
    <row r="26" customFormat="false" ht="15" hidden="false" customHeight="false" outlineLevel="0" collapsed="false">
      <c r="A26" s="2" t="s">
        <v>180</v>
      </c>
      <c r="B26" s="31" t="n">
        <f aca="false">IFERROR(IF(B23&lt;=0,"mai",Ristorante!$B$10/B23),0)</f>
        <v>37.2475924200062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4" t="s">
        <v>181</v>
      </c>
      <c r="B1" s="4" t="s">
        <v>182</v>
      </c>
      <c r="C1" s="4" t="s">
        <v>183</v>
      </c>
      <c r="D1" s="4" t="s">
        <v>184</v>
      </c>
      <c r="E1" s="4" t="s">
        <v>185</v>
      </c>
      <c r="F1" s="4" t="s">
        <v>186</v>
      </c>
    </row>
    <row r="2" customFormat="false" ht="15" hidden="false" customHeight="false" outlineLevel="0" collapsed="false">
      <c r="A2" s="2" t="s">
        <v>187</v>
      </c>
      <c r="B2" s="2" t="s">
        <v>188</v>
      </c>
      <c r="C2" s="32" t="s">
        <v>189</v>
      </c>
      <c r="D2" s="17" t="n">
        <v>3000</v>
      </c>
      <c r="E2" s="15"/>
      <c r="F2" s="3" t="str">
        <f aca="false">IF(E2="","da misurare",IF(OR(AND(C2="&gt;=",E2&gt;=D2),AND(C2="&lt;=",E2&lt;=D2)),"OK","NO"))</f>
        <v>da misurare</v>
      </c>
    </row>
    <row r="3" customFormat="false" ht="15" hidden="false" customHeight="false" outlineLevel="0" collapsed="false">
      <c r="A3" s="2" t="s">
        <v>187</v>
      </c>
      <c r="B3" s="2" t="s">
        <v>190</v>
      </c>
      <c r="C3" s="32" t="s">
        <v>189</v>
      </c>
      <c r="D3" s="17" t="n">
        <v>1000</v>
      </c>
      <c r="E3" s="15"/>
      <c r="F3" s="3" t="str">
        <f aca="false">IF(E3="","da misurare",IF(OR(AND(C3="&gt;=",E3&gt;=D3),AND(C3="&lt;=",E3&lt;=D3)),"OK","NO"))</f>
        <v>da misurare</v>
      </c>
    </row>
    <row r="4" customFormat="false" ht="15" hidden="false" customHeight="false" outlineLevel="0" collapsed="false">
      <c r="A4" s="2" t="s">
        <v>187</v>
      </c>
      <c r="B4" s="2" t="s">
        <v>191</v>
      </c>
      <c r="C4" s="32" t="s">
        <v>189</v>
      </c>
      <c r="D4" s="17" t="n">
        <v>200</v>
      </c>
      <c r="E4" s="15"/>
      <c r="F4" s="3" t="str">
        <f aca="false">IF(E4="","da misurare",IF(OR(AND(C4="&gt;=",E4&gt;=D4),AND(C4="&lt;=",E4&lt;=D4)),"OK","NO"))</f>
        <v>da misurare</v>
      </c>
    </row>
    <row r="5" customFormat="false" ht="15" hidden="false" customHeight="false" outlineLevel="0" collapsed="false">
      <c r="A5" s="2" t="s">
        <v>187</v>
      </c>
      <c r="B5" s="2" t="s">
        <v>192</v>
      </c>
      <c r="C5" s="32" t="s">
        <v>189</v>
      </c>
      <c r="D5" s="12" t="n">
        <v>0.35</v>
      </c>
      <c r="E5" s="13"/>
      <c r="F5" s="3" t="str">
        <f aca="false">IF(E5="","da misurare",IF(OR(AND(C5="&gt;=",E5&gt;=D5),AND(C5="&lt;=",E5&lt;=D5)),"OK","NO"))</f>
        <v>da misurare</v>
      </c>
    </row>
    <row r="6" customFormat="false" ht="15" hidden="false" customHeight="false" outlineLevel="0" collapsed="false">
      <c r="A6" s="2" t="s">
        <v>187</v>
      </c>
      <c r="B6" s="2" t="s">
        <v>193</v>
      </c>
      <c r="C6" s="32" t="s">
        <v>194</v>
      </c>
      <c r="D6" s="11" t="n">
        <v>2</v>
      </c>
      <c r="E6" s="10"/>
      <c r="F6" s="3" t="str">
        <f aca="false">IF(E6="","da misurare",IF(OR(AND(C6="&gt;=",E6&gt;=D6),AND(C6="&lt;=",E6&lt;=D6)),"OK","NO"))</f>
        <v>da misurare</v>
      </c>
    </row>
    <row r="7" customFormat="false" ht="15" hidden="false" customHeight="false" outlineLevel="0" collapsed="false">
      <c r="A7" s="2" t="s">
        <v>195</v>
      </c>
      <c r="B7" s="2" t="s">
        <v>196</v>
      </c>
      <c r="C7" s="32" t="s">
        <v>189</v>
      </c>
      <c r="D7" s="17" t="n">
        <v>100</v>
      </c>
      <c r="E7" s="15"/>
      <c r="F7" s="3" t="str">
        <f aca="false">IF(E7="","da misurare",IF(OR(AND(C7="&gt;=",E7&gt;=D7),AND(C7="&lt;=",E7&lt;=D7)),"OK","NO"))</f>
        <v>da misurare</v>
      </c>
    </row>
    <row r="8" customFormat="false" ht="15" hidden="false" customHeight="false" outlineLevel="0" collapsed="false">
      <c r="A8" s="2" t="s">
        <v>195</v>
      </c>
      <c r="B8" s="2" t="s">
        <v>197</v>
      </c>
      <c r="C8" s="32" t="s">
        <v>189</v>
      </c>
      <c r="D8" s="12" t="n">
        <v>0.35</v>
      </c>
      <c r="E8" s="13"/>
      <c r="F8" s="3" t="str">
        <f aca="false">IF(E8="","da misurare",IF(OR(AND(C8="&gt;=",E8&gt;=D8),AND(C8="&lt;=",E8&lt;=D8)),"OK","NO"))</f>
        <v>da misurare</v>
      </c>
    </row>
    <row r="9" customFormat="false" ht="15" hidden="false" customHeight="false" outlineLevel="0" collapsed="false">
      <c r="A9" s="2" t="s">
        <v>195</v>
      </c>
      <c r="B9" s="2" t="s">
        <v>198</v>
      </c>
      <c r="C9" s="32" t="s">
        <v>189</v>
      </c>
      <c r="D9" s="33" t="n">
        <v>4.6</v>
      </c>
      <c r="E9" s="34"/>
      <c r="F9" s="3" t="str">
        <f aca="false">IF(E9="","da misurare",IF(OR(AND(C9="&gt;=",E9&gt;=D9),AND(C9="&lt;=",E9&lt;=D9)),"OK","NO"))</f>
        <v>da misurare</v>
      </c>
    </row>
    <row r="10" customFormat="false" ht="15" hidden="false" customHeight="false" outlineLevel="0" collapsed="false">
      <c r="A10" s="2" t="s">
        <v>195</v>
      </c>
      <c r="B10" s="2" t="s">
        <v>153</v>
      </c>
      <c r="C10" s="32" t="s">
        <v>189</v>
      </c>
      <c r="D10" s="11" t="n">
        <v>5</v>
      </c>
      <c r="E10" s="10"/>
      <c r="F10" s="3" t="str">
        <f aca="false">IF(E10="","da misurare",IF(OR(AND(C10="&gt;=",E10&gt;=D10),AND(C10="&lt;=",E10&lt;=D10)),"OK","NO"))</f>
        <v>da misurare</v>
      </c>
    </row>
    <row r="11" customFormat="false" ht="15" hidden="false" customHeight="false" outlineLevel="0" collapsed="false">
      <c r="A11" s="2" t="s">
        <v>195</v>
      </c>
      <c r="B11" s="2" t="s">
        <v>199</v>
      </c>
      <c r="C11" s="32" t="s">
        <v>189</v>
      </c>
      <c r="D11" s="12" t="n">
        <v>0.3</v>
      </c>
      <c r="E11" s="13"/>
      <c r="F11" s="3" t="str">
        <f aca="false">IF(E11="","da misurare",IF(OR(AND(C11="&gt;=",E11&gt;=D11),AND(C11="&lt;=",E11&lt;=D11)),"OK","NO"))</f>
        <v>da misurare</v>
      </c>
    </row>
    <row r="12" customFormat="false" ht="15" hidden="false" customHeight="false" outlineLevel="0" collapsed="false">
      <c r="A12" s="2" t="s">
        <v>195</v>
      </c>
      <c r="B12" s="2" t="s">
        <v>200</v>
      </c>
      <c r="C12" s="32" t="s">
        <v>189</v>
      </c>
      <c r="D12" s="12" t="n">
        <v>0.4</v>
      </c>
      <c r="E12" s="13"/>
      <c r="F12" s="3" t="str">
        <f aca="false">IF(E12="","da misurare",IF(OR(AND(C12="&gt;=",E12&gt;=D12),AND(C12="&lt;=",E12&lt;=D12)),"OK","NO"))</f>
        <v>da misurare</v>
      </c>
    </row>
    <row r="13" customFormat="false" ht="15" hidden="false" customHeight="false" outlineLevel="0" collapsed="false">
      <c r="A13" s="2" t="s">
        <v>201</v>
      </c>
      <c r="B13" s="2" t="s">
        <v>202</v>
      </c>
      <c r="C13" s="32" t="s">
        <v>189</v>
      </c>
      <c r="D13" s="17" t="n">
        <v>3</v>
      </c>
      <c r="E13" s="15"/>
      <c r="F13" s="3" t="str">
        <f aca="false">IF(E13="","da misurare",IF(OR(AND(C13="&gt;=",E13&gt;=D13),AND(C13="&lt;=",E13&lt;=D13)),"OK","NO"))</f>
        <v>da misurare</v>
      </c>
    </row>
    <row r="14" customFormat="false" ht="15" hidden="false" customHeight="false" outlineLevel="0" collapsed="false">
      <c r="A14" s="2" t="s">
        <v>201</v>
      </c>
      <c r="B14" s="2" t="s">
        <v>203</v>
      </c>
      <c r="C14" s="32" t="s">
        <v>194</v>
      </c>
      <c r="D14" s="12" t="n">
        <v>0.33</v>
      </c>
      <c r="E14" s="13"/>
      <c r="F14" s="3" t="str">
        <f aca="false">IF(E14="","da misurare",IF(OR(AND(C14="&gt;=",E14&gt;=D14),AND(C14="&lt;=",E14&lt;=D14)),"OK","NO"))</f>
        <v>da misurare</v>
      </c>
    </row>
    <row r="15" customFormat="false" ht="15" hidden="false" customHeight="false" outlineLevel="0" collapsed="false">
      <c r="A15" s="2" t="s">
        <v>201</v>
      </c>
      <c r="B15" s="2" t="s">
        <v>204</v>
      </c>
      <c r="C15" s="32" t="s">
        <v>189</v>
      </c>
      <c r="D15" s="17" t="n">
        <v>1000</v>
      </c>
      <c r="E15" s="15"/>
      <c r="F15" s="3" t="str">
        <f aca="false">IF(E15="","da misurare",IF(OR(AND(C15="&gt;=",E15&gt;=D15),AND(C15="&lt;=",E15&lt;=D15)),"OK","NO"))</f>
        <v>da misurare</v>
      </c>
    </row>
    <row r="17" customFormat="false" ht="15" hidden="false" customHeight="false" outlineLevel="0" collapsed="false">
      <c r="A17" s="7" t="s">
        <v>187</v>
      </c>
      <c r="B17" s="7" t="s">
        <v>205</v>
      </c>
      <c r="C17" s="8"/>
      <c r="D17" s="8"/>
      <c r="E17" s="8"/>
      <c r="F17" s="7" t="str">
        <f aca="false">IF(COUNTIFS(A2:A15,A17,F2:F15,"NO")&gt;0,"STOP o correggi",IF(COUNTIFS(A2:A15,A17,F2:F15,"da misurare")&gt;0,"in corso","AVANTI"))</f>
        <v>in corso</v>
      </c>
    </row>
    <row r="18" customFormat="false" ht="15" hidden="false" customHeight="false" outlineLevel="0" collapsed="false">
      <c r="A18" s="7" t="s">
        <v>195</v>
      </c>
      <c r="B18" s="7" t="s">
        <v>205</v>
      </c>
      <c r="C18" s="8"/>
      <c r="D18" s="8"/>
      <c r="E18" s="8"/>
      <c r="F18" s="7" t="str">
        <f aca="false">IF(COUNTIFS(A2:A15,A18,F2:F15,"NO")&gt;0,"STOP o correggi",IF(COUNTIFS(A2:A15,A18,F2:F15,"da misurare")&gt;0,"in corso","AVANTI"))</f>
        <v>in corso</v>
      </c>
    </row>
    <row r="19" customFormat="false" ht="15" hidden="false" customHeight="false" outlineLevel="0" collapsed="false">
      <c r="A19" s="7" t="s">
        <v>201</v>
      </c>
      <c r="B19" s="7" t="s">
        <v>205</v>
      </c>
      <c r="C19" s="8"/>
      <c r="D19" s="8"/>
      <c r="E19" s="8"/>
      <c r="F19" s="7" t="str">
        <f aca="false">IF(COUNTIFS(A2:A15,A19,F2:F15,"NO")&gt;0,"STOP o correggi",IF(COUNTIFS(A2:A15,A19,F2:F15,"da misurare")&gt;0,"in corso","AVANTI"))</f>
        <v>in corso</v>
      </c>
    </row>
    <row r="21" customFormat="false" ht="15" hidden="false" customHeight="false" outlineLevel="0" collapsed="false">
      <c r="A21" s="2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2026-10-12T21:16:46Z</dcterms:created>
  <dc:creator>openpyxl</dc:creator>
  <dc:description/>
  <dc:language>en-US</dc:language>
  <cp:lastModifiedBy/>
  <dcterms:modified xsi:type="dcterms:W3CDTF">2026-10-12T21:16:46Z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